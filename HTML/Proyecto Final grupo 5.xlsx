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\Downloads\"/>
    </mc:Choice>
  </mc:AlternateContent>
  <xr:revisionPtr revIDLastSave="0" documentId="8_{5AB839A2-DA52-40AC-975F-30D6B449FC35}" xr6:coauthVersionLast="47" xr6:coauthVersionMax="47" xr10:uidLastSave="{00000000-0000-0000-0000-000000000000}"/>
  <bookViews>
    <workbookView xWindow="-108" yWindow="-108" windowWidth="30936" windowHeight="18696" activeTab="4" xr2:uid="{4539633B-D7AE-43FE-BC64-D5BF96DABA98}"/>
  </bookViews>
  <sheets>
    <sheet name="Grupo 1" sheetId="1" r:id="rId1"/>
    <sheet name="Grupo 2" sheetId="3" r:id="rId2"/>
    <sheet name="Grupo 3 " sheetId="5" r:id="rId3"/>
    <sheet name="Grupo 4" sheetId="4" r:id="rId4"/>
    <sheet name="Grupo 5" sheetId="6" r:id="rId5"/>
    <sheet name="Grupo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6" l="1"/>
  <c r="I6" i="6"/>
  <c r="J14" i="6"/>
  <c r="I10" i="6"/>
  <c r="I9" i="6"/>
  <c r="M19" i="6"/>
  <c r="M18" i="6"/>
  <c r="M17" i="6"/>
  <c r="M20" i="6"/>
  <c r="I7" i="6"/>
  <c r="I13" i="6"/>
  <c r="N14" i="6"/>
  <c r="N13" i="6"/>
  <c r="I5" i="6"/>
  <c r="J5" i="6"/>
  <c r="I4" i="6"/>
  <c r="M6" i="6"/>
  <c r="M5" i="6"/>
  <c r="J13" i="6"/>
  <c r="N4" i="6"/>
  <c r="M12" i="6"/>
  <c r="M11" i="6"/>
  <c r="J17" i="6"/>
</calcChain>
</file>

<file path=xl/sharedStrings.xml><?xml version="1.0" encoding="utf-8"?>
<sst xmlns="http://schemas.openxmlformats.org/spreadsheetml/2006/main" count="918" uniqueCount="84">
  <si>
    <t>La empresa El Diamante, S.A.</t>
  </si>
  <si>
    <t>Realiza las siguientes transacciones, durante el mes de febrero 2020</t>
  </si>
  <si>
    <t xml:space="preserve">     02 febrero</t>
  </si>
  <si>
    <t xml:space="preserve">     05 febrero</t>
  </si>
  <si>
    <t xml:space="preserve">     06 febrero</t>
  </si>
  <si>
    <t xml:space="preserve">     08 febrero</t>
  </si>
  <si>
    <t xml:space="preserve">     12 febrero</t>
  </si>
  <si>
    <t xml:space="preserve">     15 febrero</t>
  </si>
  <si>
    <t xml:space="preserve">     18 febrero</t>
  </si>
  <si>
    <t xml:space="preserve">     22 febrero</t>
  </si>
  <si>
    <t xml:space="preserve">Se realizo un abono a la casa el Portal por un monto de </t>
  </si>
  <si>
    <t xml:space="preserve">     25 febrero</t>
  </si>
  <si>
    <t xml:space="preserve">     26 febrero</t>
  </si>
  <si>
    <t xml:space="preserve">     28 febrero</t>
  </si>
  <si>
    <t>Se pagaron gastos de sueldos</t>
  </si>
  <si>
    <t>Se pagaron gastos de publicidad</t>
  </si>
  <si>
    <t xml:space="preserve">     19 febrero</t>
  </si>
  <si>
    <t xml:space="preserve">     29 febrero</t>
  </si>
  <si>
    <t>Datos adicionales</t>
  </si>
  <si>
    <t xml:space="preserve">     07 febrero</t>
  </si>
  <si>
    <t xml:space="preserve">Se pago fletes al contado por un valor de </t>
  </si>
  <si>
    <t>La depreciacion de activo categoria 2 es de un 25% anual</t>
  </si>
  <si>
    <t>La depreciacion de activo categoria 1 es un 5% anual</t>
  </si>
  <si>
    <t>La reserva para cuentas incobrales es de un 2% anual</t>
  </si>
  <si>
    <t>El cierre de la empresa es en diciembre 2020</t>
  </si>
  <si>
    <t>Se requiere</t>
  </si>
  <si>
    <t>Registrar en el diario general</t>
  </si>
  <si>
    <t>Registrar en el mayor general</t>
  </si>
  <si>
    <t>Realizar una balanza de comprobacion</t>
  </si>
  <si>
    <t xml:space="preserve">Realizar los ajustes </t>
  </si>
  <si>
    <t>Elaborar una balanza de comprobacion ajustada.</t>
  </si>
  <si>
    <t>Elaborar el estado de resultados</t>
  </si>
  <si>
    <t>Elaborar el estado de situacion</t>
  </si>
  <si>
    <t>Se vendió mercancía al contado a la casa San José</t>
  </si>
  <si>
    <t>Se adquirió una calculadora a crédito a suplidora de oficina por</t>
  </si>
  <si>
    <t>Se descontó en la venta de la casa Rosario</t>
  </si>
  <si>
    <t>Se recibió un abono de la casa Rosario por</t>
  </si>
  <si>
    <t>Se descontó de las compras de mercancías a la casa El Portal por</t>
  </si>
  <si>
    <t>Se devolvió mercancías a la casa El Portal por</t>
  </si>
  <si>
    <t xml:space="preserve">Se compro una póliza de seguros por </t>
  </si>
  <si>
    <t>Se pagaron gastos de comisiones</t>
  </si>
  <si>
    <t>Se adquirió un edificio a crédito al Banco AAA, por</t>
  </si>
  <si>
    <t>Se adquirió un vehículo a crédito al Banco AAA, por</t>
  </si>
  <si>
    <t>Se adquirió una computadora al contado a Omega,  por</t>
  </si>
  <si>
    <t>Se compró mercancía a crédito a la casa El Portal por</t>
  </si>
  <si>
    <t>Se compró mercancía al contado a la casa Mera</t>
  </si>
  <si>
    <t>Ventas de mercancias</t>
  </si>
  <si>
    <t>Debito</t>
  </si>
  <si>
    <t>Credito</t>
  </si>
  <si>
    <t>Cuentas por cobrar</t>
  </si>
  <si>
    <t>El señor Arcadio Solano, aportó en efectivo</t>
  </si>
  <si>
    <t>Se vendió mercancía a credito a la casa Rosario</t>
  </si>
  <si>
    <t>La casa Rosario, devolvió mercancías vendidas</t>
  </si>
  <si>
    <t>Catalogo de cuentas</t>
  </si>
  <si>
    <t>Efectivo caja y bancos</t>
  </si>
  <si>
    <t>Capital social</t>
  </si>
  <si>
    <t>Compras de mercancias</t>
  </si>
  <si>
    <t>Cuentas por pagar</t>
  </si>
  <si>
    <t>Fletes en compras</t>
  </si>
  <si>
    <t>Descuento en ventas</t>
  </si>
  <si>
    <t>Devolucion en ventas</t>
  </si>
  <si>
    <t>Descuento en compras</t>
  </si>
  <si>
    <t>Devolucion en compras</t>
  </si>
  <si>
    <t>Terreno</t>
  </si>
  <si>
    <t>Gastos pagados anticipados</t>
  </si>
  <si>
    <t>Gastos de sueldo</t>
  </si>
  <si>
    <t>Gastos de comisiones</t>
  </si>
  <si>
    <t>Gastos de publicidad</t>
  </si>
  <si>
    <t>Edificio</t>
  </si>
  <si>
    <t>Prestamo por pagar</t>
  </si>
  <si>
    <t>Equipo de transporte</t>
  </si>
  <si>
    <t>Mobilirios y Equipos de oficina</t>
  </si>
  <si>
    <t>Activos</t>
  </si>
  <si>
    <t>Pasivos</t>
  </si>
  <si>
    <t>Capital</t>
  </si>
  <si>
    <t>Ingresos</t>
  </si>
  <si>
    <t>Costos</t>
  </si>
  <si>
    <t>Gastos</t>
  </si>
  <si>
    <t>Aumento</t>
  </si>
  <si>
    <t>Disminucion</t>
  </si>
  <si>
    <t>Se adquirió un terreno al contado para uso de la empresa</t>
  </si>
  <si>
    <t>Gastos de seguro</t>
  </si>
  <si>
    <t>henry-martinez</t>
  </si>
  <si>
    <t>2025-0910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</si>
</sst>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43" fontId="0" fillId="0" borderId="0" xfId="1" applyFont="1"/>
    <xf numFmtId="49" fontId="0" fillId="0" borderId="0" xfId="0" applyNumberFormat="1"/>
    <xf numFmtId="0" fontId="2" fillId="0" borderId="0" xfId="0" applyFont="1"/>
    <xf numFmtId="0" fontId="3" fillId="0" borderId="0" xfId="0" applyFont="1" applyAlignment="1">
      <alignment vertical="center"/>
    </xf>
    <xf numFmtId="0" fontId="3" fillId="3" borderId="0" xfId="0" applyFont="1" applyFill="1" applyAlignment="1">
      <alignment vertical="center"/>
    </xf>
    <xf numFmtId="49" fontId="2" fillId="0" borderId="0" xfId="0" applyNumberFormat="1" applyFont="1"/>
    <xf numFmtId="0" fontId="0" fillId="5" borderId="1" xfId="0" applyFill="1" applyBorder="1"/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4" borderId="1" xfId="0" applyFill="1" applyBorder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" xfId="0" applyFont="1" applyFill="1" applyBorder="1"/>
    <xf numFmtId="43" fontId="1" fillId="0" borderId="0" xfId="1" applyFont="1"/>
    <xf numFmtId="49" fontId="0" fillId="2" borderId="0" xfId="0" applyNumberFormat="1" applyFill="1"/>
    <xf numFmtId="43" fontId="1" fillId="2" borderId="0" xfId="1" applyFont="1" applyFill="1"/>
    <xf numFmtId="43" fontId="0" fillId="0" borderId="0" xfId="0" applyNumberFormat="1"/>
    <xf numFmtId="0" fontId="0" fillId="6" borderId="0" xfId="0" applyFill="1"/>
    <xf numFmtId="43" fontId="0" fillId="7" borderId="0" xfId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30031-0834-4D87-A871-71129C7FA5EF}">
  <dimension ref="A2:N42"/>
  <sheetViews>
    <sheetView workbookViewId="0">
      <selection activeCell="E1" sqref="E1:E1048576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3.109375" style="1" bestFit="1" customWidth="1"/>
    <col min="5" max="5" width="5" style="1" customWidth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t="s">
        <v>78</v>
      </c>
      <c r="J4" t="s">
        <v>79</v>
      </c>
      <c r="L4" t="s">
        <v>46</v>
      </c>
      <c r="M4" t="s">
        <v>79</v>
      </c>
      <c r="N4" t="s">
        <v>78</v>
      </c>
    </row>
    <row r="5" spans="1:14" x14ac:dyDescent="0.3">
      <c r="F5" t="s">
        <v>55</v>
      </c>
      <c r="H5" t="s">
        <v>49</v>
      </c>
      <c r="I5" t="s">
        <v>78</v>
      </c>
      <c r="J5" t="s">
        <v>79</v>
      </c>
      <c r="L5" t="s">
        <v>59</v>
      </c>
      <c r="M5" t="s">
        <v>78</v>
      </c>
      <c r="N5" t="s">
        <v>79</v>
      </c>
    </row>
    <row r="6" spans="1:14" x14ac:dyDescent="0.3">
      <c r="A6">
        <v>1</v>
      </c>
      <c r="B6" s="2" t="s">
        <v>2</v>
      </c>
      <c r="C6" s="4" t="s">
        <v>50</v>
      </c>
      <c r="D6" s="1">
        <v>1100000</v>
      </c>
      <c r="F6" t="s">
        <v>56</v>
      </c>
      <c r="H6" t="s">
        <v>71</v>
      </c>
      <c r="I6" t="s">
        <v>78</v>
      </c>
      <c r="J6" t="s">
        <v>79</v>
      </c>
      <c r="L6" t="s">
        <v>60</v>
      </c>
      <c r="M6" t="s">
        <v>78</v>
      </c>
      <c r="N6" t="s">
        <v>79</v>
      </c>
    </row>
    <row r="7" spans="1:14" x14ac:dyDescent="0.3">
      <c r="A7">
        <v>2</v>
      </c>
      <c r="B7" s="2" t="s">
        <v>3</v>
      </c>
      <c r="C7" s="4" t="s">
        <v>44</v>
      </c>
      <c r="D7" s="1">
        <v>346500</v>
      </c>
      <c r="F7" t="s">
        <v>57</v>
      </c>
      <c r="H7" t="s">
        <v>63</v>
      </c>
      <c r="I7" t="s">
        <v>78</v>
      </c>
      <c r="J7" t="s">
        <v>79</v>
      </c>
    </row>
    <row r="8" spans="1:14" x14ac:dyDescent="0.3">
      <c r="A8">
        <v>3</v>
      </c>
      <c r="B8" s="2" t="s">
        <v>4</v>
      </c>
      <c r="C8" s="4" t="s">
        <v>45</v>
      </c>
      <c r="D8" s="1">
        <v>231000.00000000003</v>
      </c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>
        <v>4</v>
      </c>
      <c r="B9" s="2" t="s">
        <v>19</v>
      </c>
      <c r="C9" s="4" t="s">
        <v>20</v>
      </c>
      <c r="D9" s="1">
        <v>9240</v>
      </c>
      <c r="F9" t="s">
        <v>46</v>
      </c>
      <c r="H9" t="s">
        <v>68</v>
      </c>
      <c r="I9" t="s">
        <v>78</v>
      </c>
      <c r="J9" t="s">
        <v>79</v>
      </c>
    </row>
    <row r="10" spans="1:14" ht="15" thickBot="1" x14ac:dyDescent="0.35">
      <c r="A10">
        <v>5</v>
      </c>
      <c r="B10" s="2" t="s">
        <v>5</v>
      </c>
      <c r="C10" s="4" t="s">
        <v>33</v>
      </c>
      <c r="D10" s="1">
        <v>323400</v>
      </c>
      <c r="F10" t="s">
        <v>49</v>
      </c>
      <c r="H10" t="s">
        <v>70</v>
      </c>
      <c r="I10" t="s">
        <v>78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>
        <v>6</v>
      </c>
      <c r="B11" s="2" t="s">
        <v>6</v>
      </c>
      <c r="C11" s="4" t="s">
        <v>51</v>
      </c>
      <c r="D11" s="1">
        <v>462000.00000000006</v>
      </c>
      <c r="F11" t="s">
        <v>71</v>
      </c>
      <c r="L11" t="s">
        <v>56</v>
      </c>
      <c r="M11" t="s">
        <v>78</v>
      </c>
      <c r="N11" t="s">
        <v>79</v>
      </c>
    </row>
    <row r="12" spans="1:14" ht="15" thickBot="1" x14ac:dyDescent="0.35">
      <c r="A12">
        <v>7</v>
      </c>
      <c r="B12" s="2" t="s">
        <v>7</v>
      </c>
      <c r="C12" s="4" t="s">
        <v>34</v>
      </c>
      <c r="D12" s="1">
        <v>9240</v>
      </c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t="s">
        <v>78</v>
      </c>
      <c r="N12" t="s">
        <v>79</v>
      </c>
    </row>
    <row r="13" spans="1:14" x14ac:dyDescent="0.3">
      <c r="A13">
        <v>8</v>
      </c>
      <c r="B13" s="2" t="s">
        <v>8</v>
      </c>
      <c r="C13" s="4" t="s">
        <v>35</v>
      </c>
      <c r="D13" s="1">
        <v>2310</v>
      </c>
      <c r="F13" t="s">
        <v>60</v>
      </c>
      <c r="H13" t="s">
        <v>57</v>
      </c>
      <c r="I13" t="s">
        <v>79</v>
      </c>
      <c r="J13" t="s">
        <v>78</v>
      </c>
      <c r="L13" t="s">
        <v>61</v>
      </c>
      <c r="M13" t="s">
        <v>78</v>
      </c>
      <c r="N13" t="s">
        <v>79</v>
      </c>
    </row>
    <row r="14" spans="1:14" x14ac:dyDescent="0.3">
      <c r="A14">
        <v>9</v>
      </c>
      <c r="B14" s="2" t="s">
        <v>8</v>
      </c>
      <c r="C14" s="4" t="s">
        <v>52</v>
      </c>
      <c r="D14" s="1">
        <v>11550.000000000002</v>
      </c>
      <c r="F14" t="s">
        <v>61</v>
      </c>
      <c r="H14" t="s">
        <v>69</v>
      </c>
      <c r="I14" t="s">
        <v>79</v>
      </c>
      <c r="J14" t="s">
        <v>78</v>
      </c>
      <c r="L14" t="s">
        <v>62</v>
      </c>
      <c r="M14" t="s">
        <v>78</v>
      </c>
      <c r="N14" t="s">
        <v>79</v>
      </c>
    </row>
    <row r="15" spans="1:14" ht="15" thickBot="1" x14ac:dyDescent="0.35">
      <c r="A15">
        <v>10</v>
      </c>
      <c r="B15" s="2" t="s">
        <v>16</v>
      </c>
      <c r="C15" s="4" t="s">
        <v>36</v>
      </c>
      <c r="D15" s="1">
        <v>300300</v>
      </c>
      <c r="F15" t="s">
        <v>62</v>
      </c>
    </row>
    <row r="16" spans="1:14" ht="15" thickBot="1" x14ac:dyDescent="0.35">
      <c r="A16">
        <v>11</v>
      </c>
      <c r="B16" s="15" t="s">
        <v>9</v>
      </c>
      <c r="C16" s="5" t="s">
        <v>37</v>
      </c>
      <c r="D16" s="1">
        <v>1617.0000000000002</v>
      </c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>
        <v>12</v>
      </c>
      <c r="B17" s="15" t="s">
        <v>9</v>
      </c>
      <c r="C17" s="5" t="s">
        <v>38</v>
      </c>
      <c r="D17" s="1">
        <v>6930.0000000000009</v>
      </c>
      <c r="F17" t="s">
        <v>64</v>
      </c>
      <c r="H17" t="s">
        <v>55</v>
      </c>
      <c r="I17" t="s">
        <v>79</v>
      </c>
      <c r="J17" t="s">
        <v>78</v>
      </c>
      <c r="L17" t="s">
        <v>65</v>
      </c>
      <c r="M17" t="s">
        <v>78</v>
      </c>
      <c r="N17" t="s">
        <v>79</v>
      </c>
    </row>
    <row r="18" spans="1:14" x14ac:dyDescent="0.3">
      <c r="A18">
        <v>13</v>
      </c>
      <c r="B18" s="2" t="s">
        <v>9</v>
      </c>
      <c r="C18" s="4" t="s">
        <v>10</v>
      </c>
      <c r="D18" s="1">
        <v>231000.00000000003</v>
      </c>
      <c r="F18" t="s">
        <v>65</v>
      </c>
      <c r="L18" t="s">
        <v>66</v>
      </c>
      <c r="M18" t="s">
        <v>78</v>
      </c>
      <c r="N18" t="s">
        <v>79</v>
      </c>
    </row>
    <row r="19" spans="1:14" x14ac:dyDescent="0.3">
      <c r="A19">
        <v>14</v>
      </c>
      <c r="B19" s="2" t="s">
        <v>11</v>
      </c>
      <c r="C19" s="4" t="s">
        <v>80</v>
      </c>
      <c r="D19" s="1">
        <v>92400.000000000015</v>
      </c>
      <c r="F19" t="s">
        <v>66</v>
      </c>
      <c r="L19" t="s">
        <v>67</v>
      </c>
      <c r="M19" t="s">
        <v>78</v>
      </c>
      <c r="N19" t="s">
        <v>79</v>
      </c>
    </row>
    <row r="20" spans="1:14" x14ac:dyDescent="0.3">
      <c r="A20">
        <v>15</v>
      </c>
      <c r="B20" s="2" t="s">
        <v>12</v>
      </c>
      <c r="C20" s="4" t="s">
        <v>39</v>
      </c>
      <c r="D20" s="1">
        <v>46200.000000000007</v>
      </c>
      <c r="F20" t="s">
        <v>67</v>
      </c>
    </row>
    <row r="21" spans="1:14" x14ac:dyDescent="0.3">
      <c r="A21">
        <v>16</v>
      </c>
      <c r="B21" s="2" t="s">
        <v>13</v>
      </c>
      <c r="C21" s="4" t="s">
        <v>14</v>
      </c>
      <c r="D21" s="1">
        <v>4620</v>
      </c>
      <c r="F21" t="s">
        <v>68</v>
      </c>
    </row>
    <row r="22" spans="1:14" x14ac:dyDescent="0.3">
      <c r="A22">
        <v>17</v>
      </c>
      <c r="B22" s="2" t="s">
        <v>13</v>
      </c>
      <c r="C22" s="4" t="s">
        <v>40</v>
      </c>
      <c r="D22" s="1">
        <v>2310</v>
      </c>
      <c r="F22" t="s">
        <v>69</v>
      </c>
    </row>
    <row r="23" spans="1:14" x14ac:dyDescent="0.3">
      <c r="A23">
        <v>18</v>
      </c>
      <c r="B23" s="2" t="s">
        <v>13</v>
      </c>
      <c r="C23" s="4" t="s">
        <v>15</v>
      </c>
      <c r="D23" s="1">
        <v>3465.0000000000005</v>
      </c>
      <c r="F23" t="s">
        <v>70</v>
      </c>
    </row>
    <row r="24" spans="1:14" x14ac:dyDescent="0.3">
      <c r="A24">
        <v>19</v>
      </c>
      <c r="B24" s="2" t="s">
        <v>17</v>
      </c>
      <c r="C24" s="4" t="s">
        <v>41</v>
      </c>
      <c r="D24" s="1">
        <v>577500</v>
      </c>
    </row>
    <row r="25" spans="1:14" x14ac:dyDescent="0.3">
      <c r="A25">
        <v>20</v>
      </c>
      <c r="B25" s="2" t="s">
        <v>17</v>
      </c>
      <c r="C25" s="4" t="s">
        <v>42</v>
      </c>
      <c r="D25" s="1">
        <v>346500</v>
      </c>
    </row>
    <row r="26" spans="1:14" x14ac:dyDescent="0.3">
      <c r="A26">
        <v>21</v>
      </c>
      <c r="B26" s="2" t="s">
        <v>17</v>
      </c>
      <c r="C26" s="4" t="s">
        <v>43</v>
      </c>
      <c r="D26" s="1">
        <v>57750.000000000007</v>
      </c>
    </row>
    <row r="27" spans="1:14" x14ac:dyDescent="0.3">
      <c r="B27" s="2"/>
    </row>
    <row r="28" spans="1:14" x14ac:dyDescent="0.3">
      <c r="B28" s="2"/>
    </row>
    <row r="29" spans="1:14" x14ac:dyDescent="0.3">
      <c r="B29" s="6" t="s">
        <v>18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3" x14ac:dyDescent="0.3">
      <c r="C33" t="s">
        <v>24</v>
      </c>
    </row>
    <row r="35" spans="2:3" x14ac:dyDescent="0.3">
      <c r="B35" s="3" t="s">
        <v>25</v>
      </c>
    </row>
    <row r="36" spans="2:3" x14ac:dyDescent="0.3">
      <c r="C36" t="s">
        <v>26</v>
      </c>
    </row>
    <row r="37" spans="2:3" x14ac:dyDescent="0.3">
      <c r="C37" t="s">
        <v>27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C40" t="s">
        <v>30</v>
      </c>
    </row>
    <row r="41" spans="2:3" x14ac:dyDescent="0.3">
      <c r="C41" t="s">
        <v>31</v>
      </c>
    </row>
    <row r="42" spans="2:3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2D30-AF18-4E51-82E5-F8F3AFE94E55}">
  <dimension ref="A2:N42"/>
  <sheetViews>
    <sheetView workbookViewId="0">
      <selection activeCell="E1" sqref="E1:E1048576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3.109375" style="1" bestFit="1" customWidth="1"/>
    <col min="5" max="5" width="11.44140625" style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t="s">
        <v>78</v>
      </c>
      <c r="J4" t="s">
        <v>79</v>
      </c>
      <c r="L4" t="s">
        <v>46</v>
      </c>
      <c r="M4" t="s">
        <v>79</v>
      </c>
      <c r="N4" t="s">
        <v>78</v>
      </c>
    </row>
    <row r="5" spans="1:14" x14ac:dyDescent="0.3">
      <c r="F5" t="s">
        <v>55</v>
      </c>
      <c r="H5" t="s">
        <v>49</v>
      </c>
      <c r="I5" t="s">
        <v>78</v>
      </c>
      <c r="J5" t="s">
        <v>79</v>
      </c>
      <c r="L5" t="s">
        <v>59</v>
      </c>
      <c r="M5" t="s">
        <v>78</v>
      </c>
      <c r="N5" t="s">
        <v>79</v>
      </c>
    </row>
    <row r="6" spans="1:14" x14ac:dyDescent="0.3">
      <c r="A6">
        <v>1</v>
      </c>
      <c r="B6" s="2" t="s">
        <v>2</v>
      </c>
      <c r="C6" s="4" t="s">
        <v>50</v>
      </c>
      <c r="D6" s="14">
        <v>1320000</v>
      </c>
      <c r="F6" t="s">
        <v>56</v>
      </c>
      <c r="H6" t="s">
        <v>71</v>
      </c>
      <c r="I6" t="s">
        <v>78</v>
      </c>
      <c r="J6" t="s">
        <v>79</v>
      </c>
      <c r="L6" t="s">
        <v>60</v>
      </c>
      <c r="M6" t="s">
        <v>78</v>
      </c>
      <c r="N6" t="s">
        <v>79</v>
      </c>
    </row>
    <row r="7" spans="1:14" x14ac:dyDescent="0.3">
      <c r="A7">
        <v>2</v>
      </c>
      <c r="B7" s="2" t="s">
        <v>3</v>
      </c>
      <c r="C7" s="4" t="s">
        <v>44</v>
      </c>
      <c r="D7" s="14">
        <v>313500</v>
      </c>
      <c r="F7" t="s">
        <v>57</v>
      </c>
      <c r="H7" t="s">
        <v>63</v>
      </c>
      <c r="I7" t="s">
        <v>78</v>
      </c>
      <c r="J7" t="s">
        <v>79</v>
      </c>
    </row>
    <row r="8" spans="1:14" x14ac:dyDescent="0.3">
      <c r="A8">
        <v>3</v>
      </c>
      <c r="B8" s="2" t="s">
        <v>4</v>
      </c>
      <c r="C8" s="4" t="s">
        <v>45</v>
      </c>
      <c r="D8" s="14">
        <v>209000.00000000003</v>
      </c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>
        <v>4</v>
      </c>
      <c r="B9" s="2" t="s">
        <v>19</v>
      </c>
      <c r="C9" s="4" t="s">
        <v>20</v>
      </c>
      <c r="D9" s="14">
        <v>8360</v>
      </c>
      <c r="F9" t="s">
        <v>46</v>
      </c>
      <c r="H9" t="s">
        <v>68</v>
      </c>
      <c r="I9" t="s">
        <v>78</v>
      </c>
      <c r="J9" t="s">
        <v>79</v>
      </c>
    </row>
    <row r="10" spans="1:14" ht="15" thickBot="1" x14ac:dyDescent="0.35">
      <c r="A10">
        <v>5</v>
      </c>
      <c r="B10" s="2" t="s">
        <v>5</v>
      </c>
      <c r="C10" s="4" t="s">
        <v>33</v>
      </c>
      <c r="D10" s="14">
        <v>292600</v>
      </c>
      <c r="F10" t="s">
        <v>49</v>
      </c>
      <c r="H10" t="s">
        <v>70</v>
      </c>
      <c r="I10" t="s">
        <v>78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>
        <v>6</v>
      </c>
      <c r="B11" s="2" t="s">
        <v>6</v>
      </c>
      <c r="C11" s="4" t="s">
        <v>51</v>
      </c>
      <c r="D11" s="14">
        <v>418000.00000000006</v>
      </c>
      <c r="F11" t="s">
        <v>71</v>
      </c>
      <c r="L11" t="s">
        <v>56</v>
      </c>
      <c r="M11" t="s">
        <v>78</v>
      </c>
      <c r="N11" t="s">
        <v>79</v>
      </c>
    </row>
    <row r="12" spans="1:14" ht="15" thickBot="1" x14ac:dyDescent="0.35">
      <c r="A12">
        <v>7</v>
      </c>
      <c r="B12" s="2" t="s">
        <v>7</v>
      </c>
      <c r="C12" s="4" t="s">
        <v>34</v>
      </c>
      <c r="D12" s="14">
        <v>8360</v>
      </c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t="s">
        <v>78</v>
      </c>
      <c r="N12" t="s">
        <v>79</v>
      </c>
    </row>
    <row r="13" spans="1:14" x14ac:dyDescent="0.3">
      <c r="A13">
        <v>8</v>
      </c>
      <c r="B13" s="2" t="s">
        <v>8</v>
      </c>
      <c r="C13" s="4" t="s">
        <v>35</v>
      </c>
      <c r="D13" s="14">
        <v>2090</v>
      </c>
      <c r="F13" t="s">
        <v>60</v>
      </c>
      <c r="H13" t="s">
        <v>57</v>
      </c>
      <c r="I13" t="s">
        <v>79</v>
      </c>
      <c r="J13" t="s">
        <v>78</v>
      </c>
      <c r="L13" t="s">
        <v>61</v>
      </c>
      <c r="M13" t="s">
        <v>78</v>
      </c>
      <c r="N13" t="s">
        <v>79</v>
      </c>
    </row>
    <row r="14" spans="1:14" x14ac:dyDescent="0.3">
      <c r="A14">
        <v>9</v>
      </c>
      <c r="B14" s="2" t="s">
        <v>8</v>
      </c>
      <c r="C14" s="4" t="s">
        <v>52</v>
      </c>
      <c r="D14" s="14">
        <v>10450</v>
      </c>
      <c r="F14" t="s">
        <v>61</v>
      </c>
      <c r="H14" t="s">
        <v>69</v>
      </c>
      <c r="I14" t="s">
        <v>79</v>
      </c>
      <c r="J14" t="s">
        <v>78</v>
      </c>
      <c r="L14" t="s">
        <v>62</v>
      </c>
      <c r="M14" t="s">
        <v>78</v>
      </c>
      <c r="N14" t="s">
        <v>79</v>
      </c>
    </row>
    <row r="15" spans="1:14" ht="15" thickBot="1" x14ac:dyDescent="0.35">
      <c r="A15">
        <v>10</v>
      </c>
      <c r="B15" s="2" t="s">
        <v>16</v>
      </c>
      <c r="C15" s="4" t="s">
        <v>36</v>
      </c>
      <c r="D15" s="14">
        <v>271700</v>
      </c>
      <c r="F15" t="s">
        <v>62</v>
      </c>
    </row>
    <row r="16" spans="1:14" ht="15" thickBot="1" x14ac:dyDescent="0.35">
      <c r="A16">
        <v>11</v>
      </c>
      <c r="B16" s="15" t="s">
        <v>9</v>
      </c>
      <c r="C16" s="5" t="s">
        <v>37</v>
      </c>
      <c r="D16" s="16">
        <v>1463.0000000000002</v>
      </c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>
        <v>12</v>
      </c>
      <c r="B17" s="15" t="s">
        <v>9</v>
      </c>
      <c r="C17" s="5" t="s">
        <v>38</v>
      </c>
      <c r="D17" s="16">
        <v>6270.0000000000009</v>
      </c>
      <c r="F17" t="s">
        <v>64</v>
      </c>
      <c r="H17" t="s">
        <v>55</v>
      </c>
      <c r="I17" t="s">
        <v>79</v>
      </c>
      <c r="J17" t="s">
        <v>78</v>
      </c>
      <c r="L17" t="s">
        <v>65</v>
      </c>
      <c r="M17" t="s">
        <v>78</v>
      </c>
      <c r="N17" t="s">
        <v>79</v>
      </c>
    </row>
    <row r="18" spans="1:14" x14ac:dyDescent="0.3">
      <c r="A18">
        <v>13</v>
      </c>
      <c r="B18" s="2" t="s">
        <v>9</v>
      </c>
      <c r="C18" s="4" t="s">
        <v>10</v>
      </c>
      <c r="D18" s="1">
        <v>209000.00000000003</v>
      </c>
      <c r="F18" t="s">
        <v>65</v>
      </c>
      <c r="L18" t="s">
        <v>66</v>
      </c>
      <c r="M18" t="s">
        <v>78</v>
      </c>
      <c r="N18" t="s">
        <v>79</v>
      </c>
    </row>
    <row r="19" spans="1:14" x14ac:dyDescent="0.3">
      <c r="A19">
        <v>14</v>
      </c>
      <c r="B19" s="2" t="s">
        <v>11</v>
      </c>
      <c r="C19" s="4" t="s">
        <v>80</v>
      </c>
      <c r="D19" s="1">
        <v>83600</v>
      </c>
      <c r="F19" t="s">
        <v>66</v>
      </c>
      <c r="L19" t="s">
        <v>67</v>
      </c>
      <c r="M19" t="s">
        <v>78</v>
      </c>
      <c r="N19" t="s">
        <v>79</v>
      </c>
    </row>
    <row r="20" spans="1:14" x14ac:dyDescent="0.3">
      <c r="A20">
        <v>15</v>
      </c>
      <c r="B20" s="2" t="s">
        <v>12</v>
      </c>
      <c r="C20" s="4" t="s">
        <v>39</v>
      </c>
      <c r="D20" s="1">
        <v>41800</v>
      </c>
      <c r="F20" t="s">
        <v>67</v>
      </c>
    </row>
    <row r="21" spans="1:14" x14ac:dyDescent="0.3">
      <c r="A21">
        <v>16</v>
      </c>
      <c r="B21" s="2" t="s">
        <v>13</v>
      </c>
      <c r="C21" s="4" t="s">
        <v>14</v>
      </c>
      <c r="D21" s="1">
        <v>4180</v>
      </c>
      <c r="F21" t="s">
        <v>68</v>
      </c>
    </row>
    <row r="22" spans="1:14" x14ac:dyDescent="0.3">
      <c r="A22">
        <v>17</v>
      </c>
      <c r="B22" s="2" t="s">
        <v>13</v>
      </c>
      <c r="C22" s="4" t="s">
        <v>40</v>
      </c>
      <c r="D22" s="1">
        <v>2090</v>
      </c>
      <c r="F22" t="s">
        <v>69</v>
      </c>
    </row>
    <row r="23" spans="1:14" x14ac:dyDescent="0.3">
      <c r="A23">
        <v>18</v>
      </c>
      <c r="B23" s="2" t="s">
        <v>13</v>
      </c>
      <c r="C23" s="4" t="s">
        <v>15</v>
      </c>
      <c r="D23" s="1">
        <v>3135.0000000000005</v>
      </c>
      <c r="F23" t="s">
        <v>70</v>
      </c>
    </row>
    <row r="24" spans="1:14" x14ac:dyDescent="0.3">
      <c r="A24">
        <v>19</v>
      </c>
      <c r="B24" s="2" t="s">
        <v>17</v>
      </c>
      <c r="C24" s="4" t="s">
        <v>41</v>
      </c>
      <c r="D24" s="1">
        <v>522500.00000000006</v>
      </c>
    </row>
    <row r="25" spans="1:14" x14ac:dyDescent="0.3">
      <c r="A25">
        <v>20</v>
      </c>
      <c r="B25" s="2" t="s">
        <v>17</v>
      </c>
      <c r="C25" s="4" t="s">
        <v>42</v>
      </c>
      <c r="D25" s="1">
        <v>313500</v>
      </c>
    </row>
    <row r="26" spans="1:14" x14ac:dyDescent="0.3">
      <c r="A26">
        <v>21</v>
      </c>
      <c r="B26" s="2" t="s">
        <v>17</v>
      </c>
      <c r="C26" s="4" t="s">
        <v>43</v>
      </c>
      <c r="D26" s="1">
        <v>52250.000000000007</v>
      </c>
    </row>
    <row r="27" spans="1:14" x14ac:dyDescent="0.3">
      <c r="B27" s="2"/>
      <c r="D27" s="1">
        <v>0</v>
      </c>
    </row>
    <row r="28" spans="1:14" x14ac:dyDescent="0.3">
      <c r="B28" s="2"/>
      <c r="D28" s="1">
        <v>0</v>
      </c>
    </row>
    <row r="29" spans="1:14" x14ac:dyDescent="0.3">
      <c r="B29" s="6" t="s">
        <v>18</v>
      </c>
      <c r="D29" s="1">
        <v>0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3" x14ac:dyDescent="0.3">
      <c r="C33" t="s">
        <v>24</v>
      </c>
    </row>
    <row r="35" spans="2:3" x14ac:dyDescent="0.3">
      <c r="B35" s="3" t="s">
        <v>25</v>
      </c>
    </row>
    <row r="36" spans="2:3" x14ac:dyDescent="0.3">
      <c r="C36" t="s">
        <v>26</v>
      </c>
    </row>
    <row r="37" spans="2:3" x14ac:dyDescent="0.3">
      <c r="C37" t="s">
        <v>27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C40" t="s">
        <v>30</v>
      </c>
    </row>
    <row r="41" spans="2:3" x14ac:dyDescent="0.3">
      <c r="C41" t="s">
        <v>31</v>
      </c>
    </row>
    <row r="42" spans="2:3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E0B8-6BB2-4C51-B1C0-25AFBB317B52}">
  <dimension ref="A2:N42"/>
  <sheetViews>
    <sheetView workbookViewId="0">
      <selection activeCell="E1" sqref="E1:E1048576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3.109375" style="1" bestFit="1" customWidth="1"/>
    <col min="5" max="5" width="11.44140625" style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t="s">
        <v>78</v>
      </c>
      <c r="J4" t="s">
        <v>79</v>
      </c>
      <c r="L4" t="s">
        <v>46</v>
      </c>
      <c r="M4" t="s">
        <v>79</v>
      </c>
      <c r="N4" t="s">
        <v>78</v>
      </c>
    </row>
    <row r="5" spans="1:14" x14ac:dyDescent="0.3">
      <c r="F5" t="s">
        <v>55</v>
      </c>
      <c r="H5" t="s">
        <v>49</v>
      </c>
      <c r="I5" t="s">
        <v>78</v>
      </c>
      <c r="J5" t="s">
        <v>79</v>
      </c>
      <c r="L5" t="s">
        <v>59</v>
      </c>
      <c r="M5" t="s">
        <v>78</v>
      </c>
      <c r="N5" t="s">
        <v>79</v>
      </c>
    </row>
    <row r="6" spans="1:14" x14ac:dyDescent="0.3">
      <c r="A6">
        <v>1</v>
      </c>
      <c r="B6" s="2" t="s">
        <v>2</v>
      </c>
      <c r="C6" s="4" t="s">
        <v>50</v>
      </c>
      <c r="D6" s="14">
        <v>1650000.0000000002</v>
      </c>
      <c r="F6" t="s">
        <v>56</v>
      </c>
      <c r="H6" t="s">
        <v>71</v>
      </c>
      <c r="I6" t="s">
        <v>78</v>
      </c>
      <c r="J6" t="s">
        <v>79</v>
      </c>
      <c r="L6" t="s">
        <v>60</v>
      </c>
      <c r="M6" t="s">
        <v>78</v>
      </c>
      <c r="N6" t="s">
        <v>79</v>
      </c>
    </row>
    <row r="7" spans="1:14" x14ac:dyDescent="0.3">
      <c r="A7">
        <v>2</v>
      </c>
      <c r="B7" s="2" t="s">
        <v>3</v>
      </c>
      <c r="C7" s="4" t="s">
        <v>44</v>
      </c>
      <c r="D7" s="14">
        <v>297000</v>
      </c>
      <c r="F7" t="s">
        <v>57</v>
      </c>
      <c r="H7" t="s">
        <v>63</v>
      </c>
      <c r="I7" t="s">
        <v>78</v>
      </c>
      <c r="J7" t="s">
        <v>79</v>
      </c>
    </row>
    <row r="8" spans="1:14" x14ac:dyDescent="0.3">
      <c r="A8">
        <v>3</v>
      </c>
      <c r="B8" s="2" t="s">
        <v>4</v>
      </c>
      <c r="C8" s="4" t="s">
        <v>45</v>
      </c>
      <c r="D8" s="14">
        <v>198000.00000000003</v>
      </c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>
        <v>4</v>
      </c>
      <c r="B9" s="2" t="s">
        <v>19</v>
      </c>
      <c r="C9" s="4" t="s">
        <v>20</v>
      </c>
      <c r="D9" s="14">
        <v>7920.0000000000009</v>
      </c>
      <c r="F9" t="s">
        <v>46</v>
      </c>
      <c r="H9" t="s">
        <v>68</v>
      </c>
      <c r="I9" t="s">
        <v>78</v>
      </c>
      <c r="J9" t="s">
        <v>79</v>
      </c>
    </row>
    <row r="10" spans="1:14" ht="15" thickBot="1" x14ac:dyDescent="0.35">
      <c r="A10">
        <v>5</v>
      </c>
      <c r="B10" s="2" t="s">
        <v>5</v>
      </c>
      <c r="C10" s="4" t="s">
        <v>33</v>
      </c>
      <c r="D10" s="14">
        <v>277200</v>
      </c>
      <c r="F10" t="s">
        <v>49</v>
      </c>
      <c r="H10" t="s">
        <v>70</v>
      </c>
      <c r="I10" t="s">
        <v>78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>
        <v>6</v>
      </c>
      <c r="B11" s="2" t="s">
        <v>6</v>
      </c>
      <c r="C11" s="4" t="s">
        <v>51</v>
      </c>
      <c r="D11" s="14">
        <v>396000.00000000006</v>
      </c>
      <c r="F11" t="s">
        <v>71</v>
      </c>
      <c r="L11" t="s">
        <v>56</v>
      </c>
      <c r="M11" t="s">
        <v>78</v>
      </c>
      <c r="N11" t="s">
        <v>79</v>
      </c>
    </row>
    <row r="12" spans="1:14" ht="15" thickBot="1" x14ac:dyDescent="0.35">
      <c r="A12">
        <v>7</v>
      </c>
      <c r="B12" s="2" t="s">
        <v>7</v>
      </c>
      <c r="C12" s="4" t="s">
        <v>34</v>
      </c>
      <c r="D12" s="14">
        <v>7920.0000000000009</v>
      </c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t="s">
        <v>78</v>
      </c>
      <c r="N12" t="s">
        <v>79</v>
      </c>
    </row>
    <row r="13" spans="1:14" x14ac:dyDescent="0.3">
      <c r="A13">
        <v>8</v>
      </c>
      <c r="B13" s="2" t="s">
        <v>8</v>
      </c>
      <c r="C13" s="4" t="s">
        <v>35</v>
      </c>
      <c r="D13" s="14">
        <v>1980.0000000000002</v>
      </c>
      <c r="F13" t="s">
        <v>60</v>
      </c>
      <c r="H13" t="s">
        <v>57</v>
      </c>
      <c r="I13" t="s">
        <v>79</v>
      </c>
      <c r="J13" t="s">
        <v>78</v>
      </c>
      <c r="L13" t="s">
        <v>61</v>
      </c>
      <c r="M13" t="s">
        <v>78</v>
      </c>
      <c r="N13" t="s">
        <v>79</v>
      </c>
    </row>
    <row r="14" spans="1:14" x14ac:dyDescent="0.3">
      <c r="A14">
        <v>9</v>
      </c>
      <c r="B14" s="2" t="s">
        <v>8</v>
      </c>
      <c r="C14" s="4" t="s">
        <v>52</v>
      </c>
      <c r="D14" s="14">
        <v>9900</v>
      </c>
      <c r="F14" t="s">
        <v>61</v>
      </c>
      <c r="H14" t="s">
        <v>69</v>
      </c>
      <c r="I14" t="s">
        <v>79</v>
      </c>
      <c r="J14" t="s">
        <v>78</v>
      </c>
      <c r="L14" t="s">
        <v>62</v>
      </c>
      <c r="M14" t="s">
        <v>78</v>
      </c>
      <c r="N14" t="s">
        <v>79</v>
      </c>
    </row>
    <row r="15" spans="1:14" ht="15" thickBot="1" x14ac:dyDescent="0.35">
      <c r="A15">
        <v>10</v>
      </c>
      <c r="B15" s="2" t="s">
        <v>16</v>
      </c>
      <c r="C15" s="4" t="s">
        <v>36</v>
      </c>
      <c r="D15" s="14">
        <v>257400.00000000003</v>
      </c>
      <c r="F15" t="s">
        <v>62</v>
      </c>
    </row>
    <row r="16" spans="1:14" ht="15" thickBot="1" x14ac:dyDescent="0.35">
      <c r="A16">
        <v>11</v>
      </c>
      <c r="B16" s="15" t="s">
        <v>9</v>
      </c>
      <c r="C16" s="5" t="s">
        <v>37</v>
      </c>
      <c r="D16" s="16">
        <v>1386</v>
      </c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>
        <v>12</v>
      </c>
      <c r="B17" s="15" t="s">
        <v>9</v>
      </c>
      <c r="C17" s="5" t="s">
        <v>38</v>
      </c>
      <c r="D17" s="16">
        <v>5940.0000000000009</v>
      </c>
      <c r="F17" t="s">
        <v>64</v>
      </c>
      <c r="H17" t="s">
        <v>55</v>
      </c>
      <c r="I17" t="s">
        <v>79</v>
      </c>
      <c r="J17" t="s">
        <v>78</v>
      </c>
      <c r="L17" t="s">
        <v>65</v>
      </c>
      <c r="M17" t="s">
        <v>78</v>
      </c>
      <c r="N17" t="s">
        <v>79</v>
      </c>
    </row>
    <row r="18" spans="1:14" x14ac:dyDescent="0.3">
      <c r="A18">
        <v>13</v>
      </c>
      <c r="B18" s="2" t="s">
        <v>9</v>
      </c>
      <c r="C18" s="4" t="s">
        <v>10</v>
      </c>
      <c r="D18" s="1">
        <v>198000.00000000003</v>
      </c>
      <c r="F18" t="s">
        <v>65</v>
      </c>
      <c r="L18" t="s">
        <v>66</v>
      </c>
      <c r="M18" t="s">
        <v>78</v>
      </c>
      <c r="N18" t="s">
        <v>79</v>
      </c>
    </row>
    <row r="19" spans="1:14" x14ac:dyDescent="0.3">
      <c r="A19">
        <v>14</v>
      </c>
      <c r="B19" s="2" t="s">
        <v>11</v>
      </c>
      <c r="C19" s="4" t="s">
        <v>80</v>
      </c>
      <c r="D19" s="1">
        <v>79200</v>
      </c>
      <c r="F19" t="s">
        <v>66</v>
      </c>
      <c r="L19" t="s">
        <v>67</v>
      </c>
      <c r="M19" t="s">
        <v>78</v>
      </c>
      <c r="N19" t="s">
        <v>79</v>
      </c>
    </row>
    <row r="20" spans="1:14" x14ac:dyDescent="0.3">
      <c r="A20">
        <v>15</v>
      </c>
      <c r="B20" s="2" t="s">
        <v>12</v>
      </c>
      <c r="C20" s="4" t="s">
        <v>39</v>
      </c>
      <c r="D20" s="1">
        <v>39600</v>
      </c>
      <c r="F20" t="s">
        <v>67</v>
      </c>
    </row>
    <row r="21" spans="1:14" x14ac:dyDescent="0.3">
      <c r="A21">
        <v>16</v>
      </c>
      <c r="B21" s="2" t="s">
        <v>13</v>
      </c>
      <c r="C21" s="4" t="s">
        <v>14</v>
      </c>
      <c r="D21" s="1">
        <v>3960.0000000000005</v>
      </c>
      <c r="F21" t="s">
        <v>68</v>
      </c>
    </row>
    <row r="22" spans="1:14" x14ac:dyDescent="0.3">
      <c r="A22">
        <v>17</v>
      </c>
      <c r="B22" s="2" t="s">
        <v>13</v>
      </c>
      <c r="C22" s="4" t="s">
        <v>40</v>
      </c>
      <c r="D22" s="1">
        <v>1980.0000000000002</v>
      </c>
      <c r="F22" t="s">
        <v>69</v>
      </c>
    </row>
    <row r="23" spans="1:14" x14ac:dyDescent="0.3">
      <c r="A23">
        <v>18</v>
      </c>
      <c r="B23" s="2" t="s">
        <v>13</v>
      </c>
      <c r="C23" s="4" t="s">
        <v>15</v>
      </c>
      <c r="D23" s="1">
        <v>2970.0000000000005</v>
      </c>
      <c r="F23" t="s">
        <v>70</v>
      </c>
    </row>
    <row r="24" spans="1:14" x14ac:dyDescent="0.3">
      <c r="A24">
        <v>19</v>
      </c>
      <c r="B24" s="2" t="s">
        <v>17</v>
      </c>
      <c r="C24" s="4" t="s">
        <v>41</v>
      </c>
      <c r="D24" s="1">
        <v>495000.00000000006</v>
      </c>
    </row>
    <row r="25" spans="1:14" x14ac:dyDescent="0.3">
      <c r="A25">
        <v>20</v>
      </c>
      <c r="B25" s="2" t="s">
        <v>17</v>
      </c>
      <c r="C25" s="4" t="s">
        <v>42</v>
      </c>
      <c r="D25" s="1">
        <v>297000</v>
      </c>
    </row>
    <row r="26" spans="1:14" x14ac:dyDescent="0.3">
      <c r="A26">
        <v>21</v>
      </c>
      <c r="B26" s="2" t="s">
        <v>17</v>
      </c>
      <c r="C26" s="4" t="s">
        <v>43</v>
      </c>
      <c r="D26" s="1">
        <v>49500.000000000007</v>
      </c>
    </row>
    <row r="27" spans="1:14" x14ac:dyDescent="0.3">
      <c r="B27" s="2"/>
    </row>
    <row r="28" spans="1:14" x14ac:dyDescent="0.3">
      <c r="B28" s="2"/>
    </row>
    <row r="29" spans="1:14" x14ac:dyDescent="0.3">
      <c r="B29" s="6" t="s">
        <v>18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3" x14ac:dyDescent="0.3">
      <c r="C33" t="s">
        <v>24</v>
      </c>
    </row>
    <row r="35" spans="2:3" x14ac:dyDescent="0.3">
      <c r="B35" s="3" t="s">
        <v>25</v>
      </c>
    </row>
    <row r="36" spans="2:3" x14ac:dyDescent="0.3">
      <c r="C36" t="s">
        <v>26</v>
      </c>
    </row>
    <row r="37" spans="2:3" x14ac:dyDescent="0.3">
      <c r="C37" t="s">
        <v>27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C40" t="s">
        <v>30</v>
      </c>
    </row>
    <row r="41" spans="2:3" x14ac:dyDescent="0.3">
      <c r="C41" t="s">
        <v>31</v>
      </c>
    </row>
    <row r="42" spans="2:3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238DA-EA86-4857-9151-BEF5ABFC8D0B}">
  <dimension ref="A2:N42"/>
  <sheetViews>
    <sheetView workbookViewId="0">
      <selection activeCell="E1" sqref="E1:E1048576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3.109375" style="1" bestFit="1" customWidth="1"/>
    <col min="5" max="5" width="11.44140625" style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t="s">
        <v>78</v>
      </c>
      <c r="J4" t="s">
        <v>79</v>
      </c>
      <c r="L4" t="s">
        <v>46</v>
      </c>
      <c r="M4" t="s">
        <v>79</v>
      </c>
      <c r="N4" t="s">
        <v>78</v>
      </c>
    </row>
    <row r="5" spans="1:14" x14ac:dyDescent="0.3">
      <c r="F5" t="s">
        <v>55</v>
      </c>
      <c r="H5" t="s">
        <v>49</v>
      </c>
      <c r="I5" t="s">
        <v>78</v>
      </c>
      <c r="J5" t="s">
        <v>79</v>
      </c>
      <c r="L5" t="s">
        <v>59</v>
      </c>
      <c r="M5" t="s">
        <v>78</v>
      </c>
      <c r="N5" t="s">
        <v>79</v>
      </c>
    </row>
    <row r="6" spans="1:14" x14ac:dyDescent="0.3">
      <c r="A6">
        <v>1</v>
      </c>
      <c r="B6" s="2" t="s">
        <v>2</v>
      </c>
      <c r="C6" s="4" t="s">
        <v>50</v>
      </c>
      <c r="D6" s="14">
        <v>1870000.0000000002</v>
      </c>
      <c r="F6" t="s">
        <v>56</v>
      </c>
      <c r="H6" t="s">
        <v>71</v>
      </c>
      <c r="I6" t="s">
        <v>78</v>
      </c>
      <c r="J6" t="s">
        <v>79</v>
      </c>
      <c r="L6" t="s">
        <v>60</v>
      </c>
      <c r="M6" t="s">
        <v>78</v>
      </c>
      <c r="N6" t="s">
        <v>79</v>
      </c>
    </row>
    <row r="7" spans="1:14" x14ac:dyDescent="0.3">
      <c r="A7">
        <v>2</v>
      </c>
      <c r="B7" s="2" t="s">
        <v>3</v>
      </c>
      <c r="C7" s="4" t="s">
        <v>44</v>
      </c>
      <c r="D7" s="14">
        <v>363000.00000000006</v>
      </c>
      <c r="F7" t="s">
        <v>57</v>
      </c>
      <c r="H7" t="s">
        <v>63</v>
      </c>
      <c r="I7" t="s">
        <v>78</v>
      </c>
      <c r="J7" t="s">
        <v>79</v>
      </c>
    </row>
    <row r="8" spans="1:14" x14ac:dyDescent="0.3">
      <c r="A8">
        <v>3</v>
      </c>
      <c r="B8" s="2" t="s">
        <v>4</v>
      </c>
      <c r="C8" s="4" t="s">
        <v>45</v>
      </c>
      <c r="D8" s="14">
        <v>242000.00000000006</v>
      </c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>
        <v>4</v>
      </c>
      <c r="B9" s="2" t="s">
        <v>19</v>
      </c>
      <c r="C9" s="4" t="s">
        <v>20</v>
      </c>
      <c r="D9" s="14">
        <v>9680</v>
      </c>
      <c r="F9" t="s">
        <v>46</v>
      </c>
      <c r="H9" t="s">
        <v>68</v>
      </c>
      <c r="I9" t="s">
        <v>78</v>
      </c>
      <c r="J9" t="s">
        <v>79</v>
      </c>
    </row>
    <row r="10" spans="1:14" ht="15" thickBot="1" x14ac:dyDescent="0.35">
      <c r="A10">
        <v>5</v>
      </c>
      <c r="B10" s="2" t="s">
        <v>5</v>
      </c>
      <c r="C10" s="4" t="s">
        <v>33</v>
      </c>
      <c r="D10" s="14">
        <v>338800</v>
      </c>
      <c r="F10" t="s">
        <v>49</v>
      </c>
      <c r="H10" t="s">
        <v>70</v>
      </c>
      <c r="I10" t="s">
        <v>78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>
        <v>6</v>
      </c>
      <c r="B11" s="2" t="s">
        <v>6</v>
      </c>
      <c r="C11" s="4" t="s">
        <v>51</v>
      </c>
      <c r="D11" s="14">
        <v>484000.00000000012</v>
      </c>
      <c r="F11" t="s">
        <v>71</v>
      </c>
      <c r="L11" t="s">
        <v>56</v>
      </c>
      <c r="M11" t="s">
        <v>78</v>
      </c>
      <c r="N11" t="s">
        <v>79</v>
      </c>
    </row>
    <row r="12" spans="1:14" ht="15" thickBot="1" x14ac:dyDescent="0.35">
      <c r="A12">
        <v>7</v>
      </c>
      <c r="B12" s="2" t="s">
        <v>7</v>
      </c>
      <c r="C12" s="4" t="s">
        <v>34</v>
      </c>
      <c r="D12" s="14">
        <v>9680</v>
      </c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t="s">
        <v>78</v>
      </c>
      <c r="N12" t="s">
        <v>79</v>
      </c>
    </row>
    <row r="13" spans="1:14" x14ac:dyDescent="0.3">
      <c r="A13">
        <v>8</v>
      </c>
      <c r="B13" s="2" t="s">
        <v>8</v>
      </c>
      <c r="C13" s="4" t="s">
        <v>35</v>
      </c>
      <c r="D13" s="14">
        <v>2420</v>
      </c>
      <c r="F13" t="s">
        <v>60</v>
      </c>
      <c r="H13" t="s">
        <v>57</v>
      </c>
      <c r="I13" t="s">
        <v>79</v>
      </c>
      <c r="J13" t="s">
        <v>78</v>
      </c>
      <c r="L13" t="s">
        <v>61</v>
      </c>
      <c r="M13" t="s">
        <v>78</v>
      </c>
      <c r="N13" t="s">
        <v>79</v>
      </c>
    </row>
    <row r="14" spans="1:14" x14ac:dyDescent="0.3">
      <c r="A14">
        <v>9</v>
      </c>
      <c r="B14" s="2" t="s">
        <v>8</v>
      </c>
      <c r="C14" s="4" t="s">
        <v>52</v>
      </c>
      <c r="D14" s="14">
        <v>12100.000000000002</v>
      </c>
      <c r="F14" t="s">
        <v>61</v>
      </c>
      <c r="H14" t="s">
        <v>69</v>
      </c>
      <c r="I14" t="s">
        <v>79</v>
      </c>
      <c r="J14" t="s">
        <v>78</v>
      </c>
      <c r="L14" t="s">
        <v>62</v>
      </c>
      <c r="M14" t="s">
        <v>78</v>
      </c>
      <c r="N14" t="s">
        <v>79</v>
      </c>
    </row>
    <row r="15" spans="1:14" ht="15" thickBot="1" x14ac:dyDescent="0.35">
      <c r="A15">
        <v>10</v>
      </c>
      <c r="B15" s="2" t="s">
        <v>16</v>
      </c>
      <c r="C15" s="4" t="s">
        <v>36</v>
      </c>
      <c r="D15" s="14">
        <v>314600</v>
      </c>
      <c r="F15" t="s">
        <v>62</v>
      </c>
    </row>
    <row r="16" spans="1:14" ht="15" thickBot="1" x14ac:dyDescent="0.35">
      <c r="A16">
        <v>11</v>
      </c>
      <c r="B16" s="15" t="s">
        <v>9</v>
      </c>
      <c r="C16" s="5" t="s">
        <v>37</v>
      </c>
      <c r="D16" s="16">
        <v>1694.0000000000005</v>
      </c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>
        <v>12</v>
      </c>
      <c r="B17" s="15" t="s">
        <v>9</v>
      </c>
      <c r="C17" s="5" t="s">
        <v>38</v>
      </c>
      <c r="D17" s="16">
        <v>7260.0000000000018</v>
      </c>
      <c r="F17" t="s">
        <v>64</v>
      </c>
      <c r="H17" t="s">
        <v>55</v>
      </c>
      <c r="I17" t="s">
        <v>79</v>
      </c>
      <c r="J17" t="s">
        <v>78</v>
      </c>
      <c r="L17" t="s">
        <v>65</v>
      </c>
      <c r="M17" t="s">
        <v>78</v>
      </c>
      <c r="N17" t="s">
        <v>79</v>
      </c>
    </row>
    <row r="18" spans="1:14" x14ac:dyDescent="0.3">
      <c r="A18">
        <v>13</v>
      </c>
      <c r="B18" s="2" t="s">
        <v>9</v>
      </c>
      <c r="C18" s="4" t="s">
        <v>10</v>
      </c>
      <c r="D18" s="1">
        <v>242000.00000000006</v>
      </c>
      <c r="F18" t="s">
        <v>65</v>
      </c>
      <c r="L18" t="s">
        <v>66</v>
      </c>
      <c r="M18" t="s">
        <v>78</v>
      </c>
      <c r="N18" t="s">
        <v>79</v>
      </c>
    </row>
    <row r="19" spans="1:14" x14ac:dyDescent="0.3">
      <c r="A19">
        <v>14</v>
      </c>
      <c r="B19" s="2" t="s">
        <v>11</v>
      </c>
      <c r="C19" s="4" t="s">
        <v>80</v>
      </c>
      <c r="D19" s="1">
        <v>96800.000000000015</v>
      </c>
      <c r="F19" t="s">
        <v>66</v>
      </c>
      <c r="L19" t="s">
        <v>67</v>
      </c>
      <c r="M19" t="s">
        <v>78</v>
      </c>
      <c r="N19" t="s">
        <v>79</v>
      </c>
    </row>
    <row r="20" spans="1:14" x14ac:dyDescent="0.3">
      <c r="A20">
        <v>15</v>
      </c>
      <c r="B20" s="2" t="s">
        <v>12</v>
      </c>
      <c r="C20" s="4" t="s">
        <v>39</v>
      </c>
      <c r="D20" s="1">
        <v>48400.000000000007</v>
      </c>
      <c r="F20" t="s">
        <v>67</v>
      </c>
    </row>
    <row r="21" spans="1:14" x14ac:dyDescent="0.3">
      <c r="A21">
        <v>16</v>
      </c>
      <c r="B21" s="2" t="s">
        <v>13</v>
      </c>
      <c r="C21" s="4" t="s">
        <v>14</v>
      </c>
      <c r="D21" s="1">
        <v>4840</v>
      </c>
      <c r="F21" t="s">
        <v>68</v>
      </c>
    </row>
    <row r="22" spans="1:14" x14ac:dyDescent="0.3">
      <c r="A22">
        <v>17</v>
      </c>
      <c r="B22" s="2" t="s">
        <v>13</v>
      </c>
      <c r="C22" s="4" t="s">
        <v>40</v>
      </c>
      <c r="D22" s="1">
        <v>2420</v>
      </c>
      <c r="F22" t="s">
        <v>69</v>
      </c>
    </row>
    <row r="23" spans="1:14" x14ac:dyDescent="0.3">
      <c r="A23">
        <v>18</v>
      </c>
      <c r="B23" s="2" t="s">
        <v>13</v>
      </c>
      <c r="C23" s="4" t="s">
        <v>15</v>
      </c>
      <c r="D23" s="1">
        <v>3630.0000000000009</v>
      </c>
      <c r="F23" t="s">
        <v>70</v>
      </c>
    </row>
    <row r="24" spans="1:14" x14ac:dyDescent="0.3">
      <c r="A24">
        <v>19</v>
      </c>
      <c r="B24" s="2" t="s">
        <v>17</v>
      </c>
      <c r="C24" s="4" t="s">
        <v>41</v>
      </c>
      <c r="D24" s="1">
        <v>605000</v>
      </c>
    </row>
    <row r="25" spans="1:14" x14ac:dyDescent="0.3">
      <c r="A25">
        <v>20</v>
      </c>
      <c r="B25" s="2" t="s">
        <v>17</v>
      </c>
      <c r="C25" s="4" t="s">
        <v>42</v>
      </c>
      <c r="D25" s="1">
        <v>363000.00000000006</v>
      </c>
    </row>
    <row r="26" spans="1:14" x14ac:dyDescent="0.3">
      <c r="A26">
        <v>21</v>
      </c>
      <c r="B26" s="2" t="s">
        <v>17</v>
      </c>
      <c r="C26" s="4" t="s">
        <v>43</v>
      </c>
      <c r="D26" s="1">
        <v>60500.000000000015</v>
      </c>
    </row>
    <row r="27" spans="1:14" x14ac:dyDescent="0.3">
      <c r="B27" s="2"/>
    </row>
    <row r="28" spans="1:14" x14ac:dyDescent="0.3">
      <c r="B28" s="2"/>
    </row>
    <row r="29" spans="1:14" x14ac:dyDescent="0.3">
      <c r="B29" s="6" t="s">
        <v>18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3" x14ac:dyDescent="0.3">
      <c r="C33" t="s">
        <v>24</v>
      </c>
    </row>
    <row r="35" spans="2:3" x14ac:dyDescent="0.3">
      <c r="B35" s="3" t="s">
        <v>25</v>
      </c>
    </row>
    <row r="36" spans="2:3" x14ac:dyDescent="0.3">
      <c r="C36" t="s">
        <v>26</v>
      </c>
    </row>
    <row r="37" spans="2:3" x14ac:dyDescent="0.3">
      <c r="C37" t="s">
        <v>27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C40" t="s">
        <v>30</v>
      </c>
    </row>
    <row r="41" spans="2:3" x14ac:dyDescent="0.3">
      <c r="C41" t="s">
        <v>31</v>
      </c>
    </row>
    <row r="42" spans="2:3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2D02-2D96-4393-B284-47F5B0ED5DFF}">
  <dimension ref="A2:N42"/>
  <sheetViews>
    <sheetView tabSelected="1" workbookViewId="0">
      <selection activeCell="F39" sqref="F39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4.6640625" style="1" customWidth="1"/>
    <col min="5" max="5" width="13.109375" style="1" customWidth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s="17">
        <f>D6+D10+D15</f>
        <v>2496780</v>
      </c>
      <c r="J4" s="17">
        <f>D8+D9+D18+D19+D20+D21+D22+D23+D26</f>
        <v>561759</v>
      </c>
      <c r="L4" t="s">
        <v>46</v>
      </c>
      <c r="M4" t="s">
        <v>79</v>
      </c>
      <c r="N4" s="17">
        <f>D10+D11</f>
        <v>650760</v>
      </c>
    </row>
    <row r="5" spans="1:14" x14ac:dyDescent="0.3">
      <c r="F5" t="s">
        <v>55</v>
      </c>
      <c r="H5" t="s">
        <v>49</v>
      </c>
      <c r="I5" s="17">
        <f>D11+D14+D16</f>
        <v>393709.8</v>
      </c>
      <c r="J5" s="17">
        <f>D13+D15</f>
        <v>250734.00000000003</v>
      </c>
      <c r="L5" t="s">
        <v>59</v>
      </c>
      <c r="M5" s="17">
        <f>D13</f>
        <v>1914</v>
      </c>
      <c r="N5" t="s">
        <v>79</v>
      </c>
    </row>
    <row r="6" spans="1:14" x14ac:dyDescent="0.3">
      <c r="A6" s="18">
        <v>1</v>
      </c>
      <c r="B6" s="2" t="s">
        <v>2</v>
      </c>
      <c r="C6" s="4" t="s">
        <v>50</v>
      </c>
      <c r="D6" s="14">
        <v>1980000.0000000002</v>
      </c>
      <c r="E6" s="14"/>
      <c r="F6" t="s">
        <v>56</v>
      </c>
      <c r="H6" t="s">
        <v>71</v>
      </c>
      <c r="I6" s="17">
        <f>D12+D26</f>
        <v>55506.000000000007</v>
      </c>
      <c r="J6" t="s">
        <v>79</v>
      </c>
      <c r="L6" t="s">
        <v>60</v>
      </c>
      <c r="M6" s="17">
        <f>D14</f>
        <v>9570</v>
      </c>
      <c r="N6" t="s">
        <v>79</v>
      </c>
    </row>
    <row r="7" spans="1:14" x14ac:dyDescent="0.3">
      <c r="A7" s="18">
        <v>2</v>
      </c>
      <c r="B7" s="2" t="s">
        <v>3</v>
      </c>
      <c r="C7" s="4" t="s">
        <v>44</v>
      </c>
      <c r="D7" s="14">
        <v>287100</v>
      </c>
      <c r="E7" s="14"/>
      <c r="F7" t="s">
        <v>57</v>
      </c>
      <c r="H7" t="s">
        <v>63</v>
      </c>
      <c r="I7" s="17">
        <f>D19</f>
        <v>76560</v>
      </c>
      <c r="J7" t="s">
        <v>79</v>
      </c>
    </row>
    <row r="8" spans="1:14" x14ac:dyDescent="0.3">
      <c r="A8" s="18">
        <v>3</v>
      </c>
      <c r="B8" s="2" t="s">
        <v>4</v>
      </c>
      <c r="C8" s="4" t="s">
        <v>45</v>
      </c>
      <c r="D8" s="14">
        <v>191400.00000000003</v>
      </c>
      <c r="E8" s="14"/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 s="18">
        <v>4</v>
      </c>
      <c r="B9" s="2" t="s">
        <v>19</v>
      </c>
      <c r="C9" s="4" t="s">
        <v>20</v>
      </c>
      <c r="D9" s="14">
        <v>7656.0000000000009</v>
      </c>
      <c r="E9" s="14"/>
      <c r="F9" t="s">
        <v>46</v>
      </c>
      <c r="H9" t="s">
        <v>68</v>
      </c>
      <c r="I9" s="17">
        <f>D24</f>
        <v>478500.00000000006</v>
      </c>
      <c r="J9" t="s">
        <v>79</v>
      </c>
    </row>
    <row r="10" spans="1:14" ht="15" thickBot="1" x14ac:dyDescent="0.35">
      <c r="A10" s="18">
        <v>5</v>
      </c>
      <c r="B10" s="2" t="s">
        <v>5</v>
      </c>
      <c r="C10" s="4" t="s">
        <v>33</v>
      </c>
      <c r="D10" s="14">
        <v>267960</v>
      </c>
      <c r="E10" s="14"/>
      <c r="F10" t="s">
        <v>49</v>
      </c>
      <c r="H10" t="s">
        <v>70</v>
      </c>
      <c r="I10" s="17">
        <f>D25</f>
        <v>287100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 s="18">
        <v>6</v>
      </c>
      <c r="B11" s="2" t="s">
        <v>6</v>
      </c>
      <c r="C11" s="4" t="s">
        <v>51</v>
      </c>
      <c r="D11" s="14">
        <v>382800</v>
      </c>
      <c r="E11" s="14"/>
      <c r="F11" t="s">
        <v>71</v>
      </c>
      <c r="L11" t="s">
        <v>56</v>
      </c>
      <c r="M11" s="17">
        <f>D7+D8</f>
        <v>478500</v>
      </c>
      <c r="N11" t="s">
        <v>79</v>
      </c>
    </row>
    <row r="12" spans="1:14" ht="15" thickBot="1" x14ac:dyDescent="0.35">
      <c r="A12" s="18">
        <v>7</v>
      </c>
      <c r="B12" s="2" t="s">
        <v>7</v>
      </c>
      <c r="C12" s="4" t="s">
        <v>34</v>
      </c>
      <c r="D12" s="14">
        <v>7656.0000000000009</v>
      </c>
      <c r="E12" s="14"/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s="17">
        <f>D9</f>
        <v>7656.0000000000009</v>
      </c>
      <c r="N12" t="s">
        <v>79</v>
      </c>
    </row>
    <row r="13" spans="1:14" x14ac:dyDescent="0.3">
      <c r="A13" s="18">
        <v>8</v>
      </c>
      <c r="B13" s="2" t="s">
        <v>8</v>
      </c>
      <c r="C13" s="4" t="s">
        <v>35</v>
      </c>
      <c r="D13" s="14">
        <v>1914</v>
      </c>
      <c r="E13" s="14"/>
      <c r="F13" t="s">
        <v>60</v>
      </c>
      <c r="H13" t="s">
        <v>57</v>
      </c>
      <c r="I13" s="17">
        <f>D17+D18</f>
        <v>197142</v>
      </c>
      <c r="J13" s="17">
        <f>D7+D12</f>
        <v>294756</v>
      </c>
      <c r="L13" t="s">
        <v>61</v>
      </c>
      <c r="M13" t="s">
        <v>78</v>
      </c>
      <c r="N13" s="17">
        <f>D16</f>
        <v>1339.8000000000002</v>
      </c>
    </row>
    <row r="14" spans="1:14" x14ac:dyDescent="0.3">
      <c r="A14" s="18">
        <v>9</v>
      </c>
      <c r="B14" s="2" t="s">
        <v>8</v>
      </c>
      <c r="C14" s="4" t="s">
        <v>52</v>
      </c>
      <c r="D14" s="14">
        <v>9570</v>
      </c>
      <c r="E14" s="14"/>
      <c r="F14" t="s">
        <v>61</v>
      </c>
      <c r="H14" t="s">
        <v>69</v>
      </c>
      <c r="I14" t="s">
        <v>79</v>
      </c>
      <c r="J14" s="17">
        <f>D24+D25</f>
        <v>765600</v>
      </c>
      <c r="L14" t="s">
        <v>62</v>
      </c>
      <c r="M14" t="s">
        <v>78</v>
      </c>
      <c r="N14" s="17">
        <f>D17</f>
        <v>5742.0000000000009</v>
      </c>
    </row>
    <row r="15" spans="1:14" ht="15" thickBot="1" x14ac:dyDescent="0.35">
      <c r="A15" s="18">
        <v>10</v>
      </c>
      <c r="B15" s="2" t="s">
        <v>16</v>
      </c>
      <c r="C15" s="4" t="s">
        <v>36</v>
      </c>
      <c r="D15" s="14">
        <v>248820.00000000003</v>
      </c>
      <c r="E15" s="14"/>
      <c r="F15" t="s">
        <v>62</v>
      </c>
    </row>
    <row r="16" spans="1:14" ht="15" thickBot="1" x14ac:dyDescent="0.35">
      <c r="A16" s="18">
        <v>11</v>
      </c>
      <c r="B16" s="15" t="s">
        <v>9</v>
      </c>
      <c r="C16" s="5" t="s">
        <v>37</v>
      </c>
      <c r="D16" s="16">
        <v>1339.8000000000002</v>
      </c>
      <c r="E16" s="16"/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 s="18">
        <v>12</v>
      </c>
      <c r="B17" s="15" t="s">
        <v>9</v>
      </c>
      <c r="C17" s="5" t="s">
        <v>38</v>
      </c>
      <c r="D17" s="16">
        <v>5742.0000000000009</v>
      </c>
      <c r="E17" s="16"/>
      <c r="F17" t="s">
        <v>64</v>
      </c>
      <c r="H17" t="s">
        <v>55</v>
      </c>
      <c r="I17" t="s">
        <v>79</v>
      </c>
      <c r="J17" s="17">
        <f>D6</f>
        <v>1980000.0000000002</v>
      </c>
      <c r="L17" t="s">
        <v>65</v>
      </c>
      <c r="M17" s="17">
        <f>D21</f>
        <v>3828.0000000000005</v>
      </c>
      <c r="N17" t="s">
        <v>79</v>
      </c>
    </row>
    <row r="18" spans="1:14" x14ac:dyDescent="0.3">
      <c r="A18" s="18">
        <v>13</v>
      </c>
      <c r="B18" s="2" t="s">
        <v>9</v>
      </c>
      <c r="C18" s="4" t="s">
        <v>10</v>
      </c>
      <c r="D18" s="1">
        <v>191400</v>
      </c>
      <c r="F18" t="s">
        <v>65</v>
      </c>
      <c r="L18" t="s">
        <v>66</v>
      </c>
      <c r="M18" s="17">
        <f>D22</f>
        <v>1914.0000000000002</v>
      </c>
      <c r="N18" t="s">
        <v>79</v>
      </c>
    </row>
    <row r="19" spans="1:14" x14ac:dyDescent="0.3">
      <c r="A19" s="18">
        <v>14</v>
      </c>
      <c r="B19" s="2" t="s">
        <v>11</v>
      </c>
      <c r="C19" s="4" t="s">
        <v>80</v>
      </c>
      <c r="D19" s="1">
        <v>76560</v>
      </c>
      <c r="F19" t="s">
        <v>66</v>
      </c>
      <c r="L19" t="s">
        <v>67</v>
      </c>
      <c r="M19" s="17">
        <f>D23</f>
        <v>2871.0000000000005</v>
      </c>
      <c r="N19" t="s">
        <v>79</v>
      </c>
    </row>
    <row r="20" spans="1:14" x14ac:dyDescent="0.3">
      <c r="A20" s="18">
        <v>15</v>
      </c>
      <c r="B20" s="2" t="s">
        <v>12</v>
      </c>
      <c r="C20" s="4" t="s">
        <v>39</v>
      </c>
      <c r="D20" s="1">
        <v>38280</v>
      </c>
      <c r="F20" t="s">
        <v>67</v>
      </c>
      <c r="L20" t="s">
        <v>81</v>
      </c>
      <c r="M20" s="17">
        <f>D20</f>
        <v>38280</v>
      </c>
      <c r="N20" t="s">
        <v>79</v>
      </c>
    </row>
    <row r="21" spans="1:14" x14ac:dyDescent="0.3">
      <c r="A21" s="18">
        <v>16</v>
      </c>
      <c r="B21" s="2" t="s">
        <v>13</v>
      </c>
      <c r="C21" s="4" t="s">
        <v>14</v>
      </c>
      <c r="D21" s="1">
        <v>3828.0000000000005</v>
      </c>
      <c r="F21" t="s">
        <v>68</v>
      </c>
    </row>
    <row r="22" spans="1:14" x14ac:dyDescent="0.3">
      <c r="A22" s="18">
        <v>17</v>
      </c>
      <c r="B22" s="2" t="s">
        <v>13</v>
      </c>
      <c r="C22" s="4" t="s">
        <v>40</v>
      </c>
      <c r="D22" s="1">
        <v>1914.0000000000002</v>
      </c>
      <c r="F22" t="s">
        <v>69</v>
      </c>
    </row>
    <row r="23" spans="1:14" x14ac:dyDescent="0.3">
      <c r="A23" s="18">
        <v>18</v>
      </c>
      <c r="B23" s="2" t="s">
        <v>13</v>
      </c>
      <c r="C23" s="4" t="s">
        <v>15</v>
      </c>
      <c r="D23" s="1">
        <v>2871.0000000000005</v>
      </c>
      <c r="F23" t="s">
        <v>70</v>
      </c>
    </row>
    <row r="24" spans="1:14" x14ac:dyDescent="0.3">
      <c r="A24" s="18">
        <v>19</v>
      </c>
      <c r="B24" s="2" t="s">
        <v>17</v>
      </c>
      <c r="C24" s="4" t="s">
        <v>41</v>
      </c>
      <c r="D24" s="1">
        <v>478500.00000000006</v>
      </c>
    </row>
    <row r="25" spans="1:14" x14ac:dyDescent="0.3">
      <c r="A25" s="18">
        <v>20</v>
      </c>
      <c r="B25" s="2" t="s">
        <v>17</v>
      </c>
      <c r="C25" s="4" t="s">
        <v>42</v>
      </c>
      <c r="D25" s="1">
        <v>287100</v>
      </c>
    </row>
    <row r="26" spans="1:14" x14ac:dyDescent="0.3">
      <c r="A26">
        <v>21</v>
      </c>
      <c r="B26" s="2" t="s">
        <v>17</v>
      </c>
      <c r="C26" s="4" t="s">
        <v>43</v>
      </c>
      <c r="D26" s="1">
        <v>47850.000000000007</v>
      </c>
    </row>
    <row r="27" spans="1:14" x14ac:dyDescent="0.3">
      <c r="B27" s="2"/>
    </row>
    <row r="28" spans="1:14" x14ac:dyDescent="0.3">
      <c r="B28" s="2"/>
    </row>
    <row r="29" spans="1:14" x14ac:dyDescent="0.3">
      <c r="B29" s="6" t="s">
        <v>18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5" x14ac:dyDescent="0.3">
      <c r="C33" t="s">
        <v>24</v>
      </c>
    </row>
    <row r="35" spans="2:5" x14ac:dyDescent="0.3">
      <c r="B35" s="3" t="s">
        <v>25</v>
      </c>
    </row>
    <row r="36" spans="2:5" x14ac:dyDescent="0.3">
      <c r="C36" s="18" t="s">
        <v>26</v>
      </c>
      <c r="D36" s="19" t="s">
        <v>82</v>
      </c>
      <c r="E36" s="19" t="s">
        <v>83</v>
      </c>
    </row>
    <row r="37" spans="2:5" x14ac:dyDescent="0.3">
      <c r="C37" t="s">
        <v>27</v>
      </c>
    </row>
    <row r="38" spans="2:5" x14ac:dyDescent="0.3">
      <c r="C38" t="s">
        <v>28</v>
      </c>
    </row>
    <row r="39" spans="2:5" x14ac:dyDescent="0.3">
      <c r="C39" t="s">
        <v>29</v>
      </c>
    </row>
    <row r="40" spans="2:5" x14ac:dyDescent="0.3">
      <c r="C40" t="s">
        <v>30</v>
      </c>
    </row>
    <row r="41" spans="2:5" x14ac:dyDescent="0.3">
      <c r="C41" t="s">
        <v>31</v>
      </c>
    </row>
    <row r="42" spans="2:5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758C-0C26-4ED9-91BB-3C831E1B9ECE}">
  <dimension ref="A2:N42"/>
  <sheetViews>
    <sheetView workbookViewId="0">
      <selection activeCell="E1" sqref="E1:E1048576"/>
    </sheetView>
  </sheetViews>
  <sheetFormatPr defaultColWidth="11.5546875" defaultRowHeight="14.4" x14ac:dyDescent="0.3"/>
  <cols>
    <col min="2" max="2" width="14" customWidth="1"/>
    <col min="3" max="3" width="62" bestFit="1" customWidth="1"/>
    <col min="4" max="4" width="13.109375" style="1" bestFit="1" customWidth="1"/>
    <col min="5" max="5" width="13.109375" style="1" customWidth="1"/>
    <col min="6" max="6" width="29" customWidth="1"/>
    <col min="8" max="8" width="29.44140625" customWidth="1"/>
    <col min="9" max="9" width="13.5546875" customWidth="1"/>
    <col min="10" max="10" width="12.44140625" customWidth="1"/>
    <col min="12" max="12" width="22.6640625" customWidth="1"/>
    <col min="13" max="13" width="13.88671875" customWidth="1"/>
    <col min="14" max="14" width="13.5546875" customWidth="1"/>
  </cols>
  <sheetData>
    <row r="2" spans="1:14" ht="15" thickBot="1" x14ac:dyDescent="0.35"/>
    <row r="3" spans="1:14" ht="15" thickBot="1" x14ac:dyDescent="0.35">
      <c r="B3" s="3" t="s">
        <v>0</v>
      </c>
      <c r="F3" t="s">
        <v>53</v>
      </c>
      <c r="H3" s="7" t="s">
        <v>72</v>
      </c>
      <c r="I3" s="8" t="s">
        <v>47</v>
      </c>
      <c r="J3" s="9" t="s">
        <v>48</v>
      </c>
      <c r="L3" s="13" t="s">
        <v>75</v>
      </c>
      <c r="M3" s="11" t="s">
        <v>47</v>
      </c>
      <c r="N3" s="12" t="s">
        <v>48</v>
      </c>
    </row>
    <row r="4" spans="1:14" x14ac:dyDescent="0.3">
      <c r="B4" s="3" t="s">
        <v>1</v>
      </c>
      <c r="F4" t="s">
        <v>54</v>
      </c>
      <c r="H4" t="s">
        <v>54</v>
      </c>
      <c r="I4" t="s">
        <v>78</v>
      </c>
      <c r="J4" t="s">
        <v>79</v>
      </c>
      <c r="L4" t="s">
        <v>46</v>
      </c>
      <c r="M4" t="s">
        <v>79</v>
      </c>
      <c r="N4" t="s">
        <v>78</v>
      </c>
    </row>
    <row r="5" spans="1:14" x14ac:dyDescent="0.3">
      <c r="F5" t="s">
        <v>55</v>
      </c>
      <c r="H5" t="s">
        <v>49</v>
      </c>
      <c r="I5" t="s">
        <v>78</v>
      </c>
      <c r="J5" t="s">
        <v>79</v>
      </c>
      <c r="L5" t="s">
        <v>59</v>
      </c>
      <c r="M5" t="s">
        <v>78</v>
      </c>
      <c r="N5" t="s">
        <v>79</v>
      </c>
    </row>
    <row r="6" spans="1:14" x14ac:dyDescent="0.3">
      <c r="A6">
        <v>1</v>
      </c>
      <c r="B6" s="2" t="s">
        <v>2</v>
      </c>
      <c r="C6" s="4" t="s">
        <v>50</v>
      </c>
      <c r="D6" s="14">
        <v>2200000</v>
      </c>
      <c r="E6" s="14"/>
      <c r="F6" t="s">
        <v>56</v>
      </c>
      <c r="H6" t="s">
        <v>71</v>
      </c>
      <c r="I6" t="s">
        <v>78</v>
      </c>
      <c r="J6" t="s">
        <v>79</v>
      </c>
      <c r="L6" t="s">
        <v>60</v>
      </c>
      <c r="M6" t="s">
        <v>78</v>
      </c>
      <c r="N6" t="s">
        <v>79</v>
      </c>
    </row>
    <row r="7" spans="1:14" x14ac:dyDescent="0.3">
      <c r="A7">
        <v>2</v>
      </c>
      <c r="B7" s="2" t="s">
        <v>3</v>
      </c>
      <c r="C7" s="4" t="s">
        <v>44</v>
      </c>
      <c r="D7" s="14">
        <v>396000.00000000006</v>
      </c>
      <c r="E7" s="14"/>
      <c r="F7" t="s">
        <v>57</v>
      </c>
      <c r="H7" t="s">
        <v>63</v>
      </c>
      <c r="I7" t="s">
        <v>78</v>
      </c>
      <c r="J7" t="s">
        <v>79</v>
      </c>
    </row>
    <row r="8" spans="1:14" x14ac:dyDescent="0.3">
      <c r="A8">
        <v>3</v>
      </c>
      <c r="B8" s="2" t="s">
        <v>4</v>
      </c>
      <c r="C8" s="4" t="s">
        <v>45</v>
      </c>
      <c r="D8" s="14">
        <v>264000</v>
      </c>
      <c r="E8" s="14"/>
      <c r="F8" t="s">
        <v>58</v>
      </c>
      <c r="H8" t="s">
        <v>64</v>
      </c>
      <c r="I8" t="s">
        <v>78</v>
      </c>
      <c r="J8" t="s">
        <v>79</v>
      </c>
    </row>
    <row r="9" spans="1:14" ht="15" thickBot="1" x14ac:dyDescent="0.35">
      <c r="A9">
        <v>4</v>
      </c>
      <c r="B9" s="2" t="s">
        <v>19</v>
      </c>
      <c r="C9" s="4" t="s">
        <v>20</v>
      </c>
      <c r="D9" s="14">
        <v>10560</v>
      </c>
      <c r="E9" s="14"/>
      <c r="F9" t="s">
        <v>46</v>
      </c>
      <c r="H9" t="s">
        <v>68</v>
      </c>
      <c r="I9" t="s">
        <v>78</v>
      </c>
      <c r="J9" t="s">
        <v>79</v>
      </c>
    </row>
    <row r="10" spans="1:14" ht="15" thickBot="1" x14ac:dyDescent="0.35">
      <c r="A10">
        <v>5</v>
      </c>
      <c r="B10" s="2" t="s">
        <v>5</v>
      </c>
      <c r="C10" s="4" t="s">
        <v>33</v>
      </c>
      <c r="D10" s="14">
        <v>369600.00000000006</v>
      </c>
      <c r="E10" s="14"/>
      <c r="F10" t="s">
        <v>49</v>
      </c>
      <c r="H10" t="s">
        <v>70</v>
      </c>
      <c r="I10" t="s">
        <v>78</v>
      </c>
      <c r="J10" t="s">
        <v>79</v>
      </c>
      <c r="L10" s="7" t="s">
        <v>76</v>
      </c>
      <c r="M10" s="8" t="s">
        <v>47</v>
      </c>
      <c r="N10" s="9" t="s">
        <v>48</v>
      </c>
    </row>
    <row r="11" spans="1:14" ht="15" thickBot="1" x14ac:dyDescent="0.35">
      <c r="A11">
        <v>6</v>
      </c>
      <c r="B11" s="2" t="s">
        <v>6</v>
      </c>
      <c r="C11" s="4" t="s">
        <v>51</v>
      </c>
      <c r="D11" s="14">
        <v>528000</v>
      </c>
      <c r="E11" s="14"/>
      <c r="F11" t="s">
        <v>71</v>
      </c>
      <c r="L11" t="s">
        <v>56</v>
      </c>
      <c r="M11" t="s">
        <v>78</v>
      </c>
      <c r="N11" t="s">
        <v>79</v>
      </c>
    </row>
    <row r="12" spans="1:14" ht="15" thickBot="1" x14ac:dyDescent="0.35">
      <c r="A12">
        <v>7</v>
      </c>
      <c r="B12" s="2" t="s">
        <v>7</v>
      </c>
      <c r="C12" s="4" t="s">
        <v>34</v>
      </c>
      <c r="D12" s="14">
        <v>10560</v>
      </c>
      <c r="E12" s="14"/>
      <c r="F12" t="s">
        <v>59</v>
      </c>
      <c r="H12" s="10" t="s">
        <v>73</v>
      </c>
      <c r="I12" s="11" t="s">
        <v>47</v>
      </c>
      <c r="J12" s="12" t="s">
        <v>48</v>
      </c>
      <c r="L12" t="s">
        <v>58</v>
      </c>
      <c r="M12" t="s">
        <v>78</v>
      </c>
      <c r="N12" t="s">
        <v>79</v>
      </c>
    </row>
    <row r="13" spans="1:14" x14ac:dyDescent="0.3">
      <c r="A13">
        <v>8</v>
      </c>
      <c r="B13" s="2" t="s">
        <v>8</v>
      </c>
      <c r="C13" s="4" t="s">
        <v>35</v>
      </c>
      <c r="D13" s="14">
        <v>2640</v>
      </c>
      <c r="E13" s="14"/>
      <c r="F13" t="s">
        <v>60</v>
      </c>
      <c r="H13" t="s">
        <v>57</v>
      </c>
      <c r="I13" t="s">
        <v>79</v>
      </c>
      <c r="J13" t="s">
        <v>78</v>
      </c>
      <c r="L13" t="s">
        <v>61</v>
      </c>
      <c r="M13" t="s">
        <v>78</v>
      </c>
      <c r="N13" t="s">
        <v>79</v>
      </c>
    </row>
    <row r="14" spans="1:14" x14ac:dyDescent="0.3">
      <c r="A14">
        <v>9</v>
      </c>
      <c r="B14" s="2" t="s">
        <v>8</v>
      </c>
      <c r="C14" s="4" t="s">
        <v>52</v>
      </c>
      <c r="D14" s="14">
        <v>13200.000000000002</v>
      </c>
      <c r="E14" s="14"/>
      <c r="F14" t="s">
        <v>61</v>
      </c>
      <c r="H14" t="s">
        <v>69</v>
      </c>
      <c r="I14" t="s">
        <v>79</v>
      </c>
      <c r="J14" t="s">
        <v>78</v>
      </c>
      <c r="L14" t="s">
        <v>62</v>
      </c>
      <c r="M14" t="s">
        <v>78</v>
      </c>
      <c r="N14" t="s">
        <v>79</v>
      </c>
    </row>
    <row r="15" spans="1:14" ht="15" thickBot="1" x14ac:dyDescent="0.35">
      <c r="A15">
        <v>10</v>
      </c>
      <c r="B15" s="2" t="s">
        <v>16</v>
      </c>
      <c r="C15" s="4" t="s">
        <v>36</v>
      </c>
      <c r="D15" s="14">
        <v>343200</v>
      </c>
      <c r="E15" s="14"/>
      <c r="F15" t="s">
        <v>62</v>
      </c>
    </row>
    <row r="16" spans="1:14" ht="15" thickBot="1" x14ac:dyDescent="0.35">
      <c r="A16">
        <v>11</v>
      </c>
      <c r="B16" s="15" t="s">
        <v>9</v>
      </c>
      <c r="C16" s="5" t="s">
        <v>37</v>
      </c>
      <c r="D16" s="16">
        <v>1848.0000000000002</v>
      </c>
      <c r="E16" s="16"/>
      <c r="F16" t="s">
        <v>63</v>
      </c>
      <c r="H16" s="10" t="s">
        <v>74</v>
      </c>
      <c r="I16" s="11" t="s">
        <v>47</v>
      </c>
      <c r="J16" s="12" t="s">
        <v>48</v>
      </c>
      <c r="L16" s="7" t="s">
        <v>77</v>
      </c>
      <c r="M16" s="8" t="s">
        <v>47</v>
      </c>
      <c r="N16" s="9" t="s">
        <v>48</v>
      </c>
    </row>
    <row r="17" spans="1:14" x14ac:dyDescent="0.3">
      <c r="A17">
        <v>12</v>
      </c>
      <c r="B17" s="15" t="s">
        <v>9</v>
      </c>
      <c r="C17" s="5" t="s">
        <v>38</v>
      </c>
      <c r="D17" s="16">
        <v>7920.0000000000009</v>
      </c>
      <c r="E17" s="16"/>
      <c r="F17" t="s">
        <v>64</v>
      </c>
      <c r="H17" t="s">
        <v>55</v>
      </c>
      <c r="I17" t="s">
        <v>79</v>
      </c>
      <c r="J17" t="s">
        <v>78</v>
      </c>
      <c r="L17" t="s">
        <v>65</v>
      </c>
      <c r="M17" t="s">
        <v>78</v>
      </c>
      <c r="N17" t="s">
        <v>79</v>
      </c>
    </row>
    <row r="18" spans="1:14" x14ac:dyDescent="0.3">
      <c r="A18">
        <v>13</v>
      </c>
      <c r="B18" s="2" t="s">
        <v>9</v>
      </c>
      <c r="C18" s="4" t="s">
        <v>10</v>
      </c>
      <c r="D18" s="1">
        <v>264000</v>
      </c>
      <c r="F18" t="s">
        <v>65</v>
      </c>
      <c r="L18" t="s">
        <v>66</v>
      </c>
      <c r="M18" t="s">
        <v>78</v>
      </c>
      <c r="N18" t="s">
        <v>79</v>
      </c>
    </row>
    <row r="19" spans="1:14" x14ac:dyDescent="0.3">
      <c r="A19">
        <v>14</v>
      </c>
      <c r="B19" s="2" t="s">
        <v>11</v>
      </c>
      <c r="C19" s="4" t="s">
        <v>80</v>
      </c>
      <c r="D19" s="1">
        <v>105600.00000000001</v>
      </c>
      <c r="F19" t="s">
        <v>66</v>
      </c>
      <c r="L19" t="s">
        <v>67</v>
      </c>
      <c r="M19" t="s">
        <v>78</v>
      </c>
      <c r="N19" t="s">
        <v>79</v>
      </c>
    </row>
    <row r="20" spans="1:14" x14ac:dyDescent="0.3">
      <c r="A20">
        <v>15</v>
      </c>
      <c r="B20" s="2" t="s">
        <v>12</v>
      </c>
      <c r="C20" s="4" t="s">
        <v>39</v>
      </c>
      <c r="D20" s="1">
        <v>52800.000000000007</v>
      </c>
      <c r="F20" t="s">
        <v>67</v>
      </c>
    </row>
    <row r="21" spans="1:14" x14ac:dyDescent="0.3">
      <c r="A21">
        <v>16</v>
      </c>
      <c r="B21" s="2" t="s">
        <v>13</v>
      </c>
      <c r="C21" s="4" t="s">
        <v>14</v>
      </c>
      <c r="D21" s="1">
        <v>5280</v>
      </c>
      <c r="F21" t="s">
        <v>68</v>
      </c>
    </row>
    <row r="22" spans="1:14" x14ac:dyDescent="0.3">
      <c r="A22">
        <v>17</v>
      </c>
      <c r="B22" s="2" t="s">
        <v>13</v>
      </c>
      <c r="C22" s="4" t="s">
        <v>40</v>
      </c>
      <c r="D22" s="1">
        <v>2640</v>
      </c>
      <c r="F22" t="s">
        <v>69</v>
      </c>
    </row>
    <row r="23" spans="1:14" x14ac:dyDescent="0.3">
      <c r="A23">
        <v>18</v>
      </c>
      <c r="B23" s="2" t="s">
        <v>13</v>
      </c>
      <c r="C23" s="4" t="s">
        <v>15</v>
      </c>
      <c r="D23" s="1">
        <v>3960.0000000000005</v>
      </c>
      <c r="F23" t="s">
        <v>70</v>
      </c>
    </row>
    <row r="24" spans="1:14" x14ac:dyDescent="0.3">
      <c r="A24">
        <v>19</v>
      </c>
      <c r="B24" s="2" t="s">
        <v>17</v>
      </c>
      <c r="C24" s="4" t="s">
        <v>41</v>
      </c>
      <c r="D24" s="1">
        <v>660000</v>
      </c>
    </row>
    <row r="25" spans="1:14" x14ac:dyDescent="0.3">
      <c r="A25">
        <v>20</v>
      </c>
      <c r="B25" s="2" t="s">
        <v>17</v>
      </c>
      <c r="C25" s="4" t="s">
        <v>42</v>
      </c>
      <c r="D25" s="1">
        <v>396000.00000000006</v>
      </c>
    </row>
    <row r="26" spans="1:14" x14ac:dyDescent="0.3">
      <c r="A26">
        <v>21</v>
      </c>
      <c r="B26" s="2" t="s">
        <v>17</v>
      </c>
      <c r="C26" s="4" t="s">
        <v>43</v>
      </c>
      <c r="D26" s="1">
        <v>66000</v>
      </c>
    </row>
    <row r="27" spans="1:14" x14ac:dyDescent="0.3">
      <c r="B27" s="2"/>
    </row>
    <row r="28" spans="1:14" x14ac:dyDescent="0.3">
      <c r="B28" s="2"/>
    </row>
    <row r="29" spans="1:14" x14ac:dyDescent="0.3">
      <c r="B29" s="6" t="s">
        <v>18</v>
      </c>
    </row>
    <row r="30" spans="1:14" x14ac:dyDescent="0.3">
      <c r="C30" t="s">
        <v>22</v>
      </c>
    </row>
    <row r="31" spans="1:14" x14ac:dyDescent="0.3">
      <c r="C31" t="s">
        <v>21</v>
      </c>
    </row>
    <row r="32" spans="1:14" x14ac:dyDescent="0.3">
      <c r="C32" t="s">
        <v>23</v>
      </c>
    </row>
    <row r="33" spans="2:3" x14ac:dyDescent="0.3">
      <c r="C33" t="s">
        <v>24</v>
      </c>
    </row>
    <row r="35" spans="2:3" x14ac:dyDescent="0.3">
      <c r="B35" s="3" t="s">
        <v>25</v>
      </c>
    </row>
    <row r="36" spans="2:3" x14ac:dyDescent="0.3">
      <c r="C36" t="s">
        <v>26</v>
      </c>
    </row>
    <row r="37" spans="2:3" x14ac:dyDescent="0.3">
      <c r="C37" t="s">
        <v>27</v>
      </c>
    </row>
    <row r="38" spans="2:3" x14ac:dyDescent="0.3">
      <c r="C38" t="s">
        <v>28</v>
      </c>
    </row>
    <row r="39" spans="2:3" x14ac:dyDescent="0.3">
      <c r="C39" t="s">
        <v>29</v>
      </c>
    </row>
    <row r="40" spans="2:3" x14ac:dyDescent="0.3">
      <c r="C40" t="s">
        <v>30</v>
      </c>
    </row>
    <row r="41" spans="2:3" x14ac:dyDescent="0.3">
      <c r="C41" t="s">
        <v>31</v>
      </c>
    </row>
    <row r="42" spans="2:3" x14ac:dyDescent="0.3">
      <c r="C42" t="s">
        <v>32</v>
      </c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Grupo 1</vt:lpstr>
      <vt:lpstr>Grupo 2</vt:lpstr>
      <vt:lpstr>Grupo 3 </vt:lpstr>
      <vt:lpstr>Grupo 4</vt:lpstr>
      <vt:lpstr>Grupo 5</vt:lpstr>
      <vt:lpstr>Grupo 6</vt:lpstr>
    </vt:vector>
  </TitlesOfParts>
  <Company>BanReservas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Henry Martinez</cp:lastModifiedBy>
  <dcterms:created xsi:type="dcterms:W3CDTF">2022-06-12T16:19:44Z</dcterms:created>
  <dcterms:modified xsi:type="dcterms:W3CDTF">2025-08-19T00:39:22Z</dcterms:modified>
</cp:coreProperties>
</file>